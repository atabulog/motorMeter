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DSMDC\itar\DEM17-01\Data Experimental\capacitance testing\Shinsei baseline\"/>
    </mc:Choice>
  </mc:AlternateContent>
  <xr:revisionPtr revIDLastSave="0" documentId="13_ncr:1_{541A6320-9A5F-4E36-B2C2-DF6AF97C7DBB}" xr6:coauthVersionLast="45" xr6:coauthVersionMax="45" xr10:uidLastSave="{00000000-0000-0000-0000-000000000000}"/>
  <bookViews>
    <workbookView xWindow="-108" yWindow="-108" windowWidth="23256" windowHeight="13176" xr2:uid="{C508453A-88A9-4D77-993F-7079CB731670}"/>
  </bookViews>
  <sheets>
    <sheet name="Sweep" sheetId="1" r:id="rId1"/>
  </sheets>
  <externalReferences>
    <externalReference r:id="rId2"/>
  </externalReferences>
  <definedNames>
    <definedName name="Cp">Sweep!$D$56:$D$59</definedName>
    <definedName name="Cs">Sweep!$C$56:$C$59</definedName>
    <definedName name="DCR">Sweep!$K$56:$K$59</definedName>
    <definedName name="G">Sweep!$J$56:$J$59</definedName>
    <definedName name="Lp">Sweep!$F$56:$F$59</definedName>
    <definedName name="Ls">Sweep!$E$56:$E$59</definedName>
    <definedName name="R_">Sweep!$I$56:$I$59</definedName>
    <definedName name="Y">Sweep!$H$56:$H$59</definedName>
    <definedName name="Z">Sweep!$G$56:$G$59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<sst xmlns="http://schemas.openxmlformats.org/spreadsheetml/2006/main" count="62" uniqueCount="34">
  <si>
    <t>Sweep parameters</t>
  </si>
  <si>
    <t>Primary</t>
  </si>
  <si>
    <t>Secondary</t>
  </si>
  <si>
    <t>level</t>
  </si>
  <si>
    <t xml:space="preserve">start </t>
  </si>
  <si>
    <t>stop</t>
  </si>
  <si>
    <t>step</t>
  </si>
  <si>
    <t>value</t>
  </si>
  <si>
    <t>%</t>
  </si>
  <si>
    <t>D</t>
  </si>
  <si>
    <t>Cp</t>
  </si>
  <si>
    <t>Hz</t>
  </si>
  <si>
    <t>Cs</t>
  </si>
  <si>
    <t>Ls</t>
  </si>
  <si>
    <t>Lp</t>
  </si>
  <si>
    <t>Z</t>
  </si>
  <si>
    <t>Y</t>
  </si>
  <si>
    <t>R</t>
  </si>
  <si>
    <t>G</t>
  </si>
  <si>
    <t>DCR</t>
  </si>
  <si>
    <t>Q</t>
  </si>
  <si>
    <t>θ</t>
  </si>
  <si>
    <t>X</t>
  </si>
  <si>
    <t>B</t>
  </si>
  <si>
    <t>Ω</t>
  </si>
  <si>
    <t>S</t>
  </si>
  <si>
    <t>units</t>
  </si>
  <si>
    <t>Level</t>
  </si>
  <si>
    <t>VRMS</t>
  </si>
  <si>
    <t>nF</t>
  </si>
  <si>
    <t>mH</t>
  </si>
  <si>
    <t>Units</t>
  </si>
  <si>
    <t>s</t>
  </si>
  <si>
    <t>dwell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</si>
</sst>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0" xfId="0" applyFont="1" applyBorder="1"/>
    <xf numFmtId="0" fontId="0" fillId="0" borderId="6" xfId="0" applyFill="1" applyBorder="1"/>
    <xf numFmtId="0" fontId="0" fillId="0" borderId="7" xfId="0" applyFill="1" applyBorder="1"/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9</xdr:row>
          <xdr:rowOff>167640</xdr:rowOff>
        </xdr:from>
        <xdr:to>
          <xdr:col>2</xdr:col>
          <xdr:colOff>30480</xdr:colOff>
          <xdr:row>10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7620</xdr:rowOff>
        </xdr:from>
        <xdr:to>
          <xdr:col>4</xdr:col>
          <xdr:colOff>7620</xdr:colOff>
          <xdr:row>11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586740</xdr:colOff>
          <xdr:row>11</xdr:row>
          <xdr:rowOff>175260</xdr:rowOff>
        </xdr:from>
        <xdr:to>
          <xdr:col>3</xdr:col>
          <xdr:colOff>601980</xdr:colOff>
          <xdr:row>13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12</xdr:row>
          <xdr:rowOff>15240</xdr:rowOff>
        </xdr:from>
        <xdr:to>
          <xdr:col>2</xdr:col>
          <xdr:colOff>22860</xdr:colOff>
          <xdr:row>13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plot_allLCR"/>
      <definedName name="plot_LCRData.plot_LCRData"/>
      <definedName name="RunPythonScrip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22D8-E6A4-4944-9B83-99CD475BE293}">
  <sheetPr codeName="Sheet1"/>
  <dimension ref="B1:K63"/>
  <sheetViews>
    <sheetView tabSelected="1" workbookViewId="0">
      <selection activeCell="K15" sqref="K15"/>
    </sheetView>
  </sheetViews>
  <sheetFormatPr defaultRowHeight="14.4" x14ac:dyDescent="0.3"/>
  <cols>
    <col min="2" max="2" width="17.33203125" bestFit="1" customWidth="1"/>
    <col min="8" max="8" width="9.44140625" bestFit="1" customWidth="1"/>
  </cols>
  <sheetData>
    <row r="1" spans="2:4" ht="15" thickBot="1" x14ac:dyDescent="0.35"/>
    <row r="2" spans="2:4" x14ac:dyDescent="0.3">
      <c r="B2" s="1" t="s">
        <v>0</v>
      </c>
      <c r="C2" s="2" t="s">
        <v>7</v>
      </c>
      <c r="D2" s="3" t="s">
        <v>31</v>
      </c>
    </row>
    <row r="3" spans="2:4" x14ac:dyDescent="0.3">
      <c r="B3" s="4" t="s">
        <v>1</v>
      </c>
      <c r="C3" s="10" t="s">
        <v>10</v>
      </c>
      <c r="D3" s="16" t="str">
        <f>IF(OR(C3=C55, C3=D55), C54, IF(OR(C3=F55, C3=E55), E54, IF(OR(C3=G55, C3=H55, C3=I55, C3=K55), I54, IF(C3=J55,J54, 0))))</f>
        <v>nF</v>
      </c>
    </row>
    <row r="4" spans="2:4" x14ac:dyDescent="0.3">
      <c r="B4" s="4" t="s">
        <v>2</v>
      </c>
      <c r="C4" s="10" t="s">
        <v>9</v>
      </c>
      <c r="D4" s="16" t="s">
        <v>8</v>
      </c>
    </row>
    <row r="5" spans="2:4" ht="15" thickBot="1" x14ac:dyDescent="0.35">
      <c r="B5" s="4" t="s">
        <v>3</v>
      </c>
      <c r="C5" s="10">
        <v>1</v>
      </c>
      <c r="D5" s="16" t="s">
        <v>28</v>
      </c>
    </row>
    <row r="6" spans="2:4" x14ac:dyDescent="0.3">
      <c r="B6" s="1" t="s">
        <v>4</v>
      </c>
      <c r="C6" s="2">
        <v>46000</v>
      </c>
      <c r="D6" s="17" t="s">
        <v>11</v>
      </c>
    </row>
    <row r="7" spans="2:4" x14ac:dyDescent="0.3">
      <c r="B7" s="4" t="s">
        <v>5</v>
      </c>
      <c r="C7" s="5">
        <v>50000</v>
      </c>
      <c r="D7" s="16" t="s">
        <v>11</v>
      </c>
    </row>
    <row r="8" spans="2:4" ht="15" thickBot="1" x14ac:dyDescent="0.35">
      <c r="B8" s="7" t="s">
        <v>6</v>
      </c>
      <c r="C8" s="8">
        <v>10</v>
      </c>
      <c r="D8" s="18" t="s">
        <v>11</v>
      </c>
    </row>
    <row r="9" spans="2:4" ht="15" thickBot="1" x14ac:dyDescent="0.35">
      <c r="B9" s="14" t="s">
        <v>33</v>
      </c>
      <c r="C9" s="15">
        <v>0.15</v>
      </c>
      <c r="D9" s="19" t="s">
        <v>32</v>
      </c>
    </row>
    <row r="53" spans="2:11" ht="15" thickBot="1" x14ac:dyDescent="0.35"/>
    <row r="54" spans="2:11" x14ac:dyDescent="0.3">
      <c r="B54" s="1" t="s">
        <v>26</v>
      </c>
      <c r="C54" s="2" t="s">
        <v>29</v>
      </c>
      <c r="D54" s="2" t="s">
        <v>29</v>
      </c>
      <c r="E54" s="2" t="s">
        <v>30</v>
      </c>
      <c r="F54" s="2" t="s">
        <v>30</v>
      </c>
      <c r="G54" s="11" t="s">
        <v>24</v>
      </c>
      <c r="H54" s="11" t="s">
        <v>24</v>
      </c>
      <c r="I54" s="11" t="s">
        <v>24</v>
      </c>
      <c r="J54" s="11" t="s">
        <v>25</v>
      </c>
      <c r="K54" s="12" t="s">
        <v>24</v>
      </c>
    </row>
    <row r="55" spans="2:11" x14ac:dyDescent="0.3">
      <c r="B55" s="4" t="s">
        <v>1</v>
      </c>
      <c r="C55" s="5" t="s">
        <v>12</v>
      </c>
      <c r="D55" s="5" t="s">
        <v>10</v>
      </c>
      <c r="E55" s="5" t="s">
        <v>13</v>
      </c>
      <c r="F55" s="5" t="s">
        <v>14</v>
      </c>
      <c r="G55" s="5" t="s">
        <v>15</v>
      </c>
      <c r="H55" s="5" t="s">
        <v>16</v>
      </c>
      <c r="I55" s="5" t="s">
        <v>17</v>
      </c>
      <c r="J55" s="5" t="s">
        <v>18</v>
      </c>
      <c r="K55" s="6" t="s">
        <v>19</v>
      </c>
    </row>
    <row r="56" spans="2:11" x14ac:dyDescent="0.3">
      <c r="B56" s="4" t="s">
        <v>2</v>
      </c>
      <c r="C56" s="5" t="s">
        <v>20</v>
      </c>
      <c r="D56" s="5" t="s">
        <v>20</v>
      </c>
      <c r="E56" s="5" t="s">
        <v>20</v>
      </c>
      <c r="F56" s="5" t="s">
        <v>20</v>
      </c>
      <c r="G56" s="13" t="s">
        <v>21</v>
      </c>
      <c r="H56" s="13" t="s">
        <v>21</v>
      </c>
      <c r="I56" s="13" t="s">
        <v>22</v>
      </c>
      <c r="J56" s="13" t="s">
        <v>23</v>
      </c>
      <c r="K56" s="6"/>
    </row>
    <row r="57" spans="2:11" x14ac:dyDescent="0.3">
      <c r="B57" s="4" t="s">
        <v>2</v>
      </c>
      <c r="C57" s="5" t="s">
        <v>9</v>
      </c>
      <c r="D57" s="5" t="s">
        <v>9</v>
      </c>
      <c r="E57" s="5" t="s">
        <v>9</v>
      </c>
      <c r="F57" s="5" t="s">
        <v>9</v>
      </c>
      <c r="G57" s="5"/>
      <c r="H57" s="5"/>
      <c r="I57" s="13" t="s">
        <v>9</v>
      </c>
      <c r="J57" s="5"/>
      <c r="K57" s="6"/>
    </row>
    <row r="58" spans="2:11" x14ac:dyDescent="0.3">
      <c r="B58" s="4" t="s">
        <v>2</v>
      </c>
      <c r="C58" s="5" t="s">
        <v>17</v>
      </c>
      <c r="D58" s="5" t="s">
        <v>17</v>
      </c>
      <c r="E58" s="5" t="s">
        <v>17</v>
      </c>
      <c r="F58" s="5" t="s">
        <v>17</v>
      </c>
      <c r="G58" s="5"/>
      <c r="H58" s="5"/>
      <c r="I58" s="5"/>
      <c r="J58" s="5"/>
      <c r="K58" s="6"/>
    </row>
    <row r="59" spans="2:11" x14ac:dyDescent="0.3">
      <c r="B59" s="4" t="s">
        <v>2</v>
      </c>
      <c r="C59" s="5"/>
      <c r="D59" s="5" t="s">
        <v>18</v>
      </c>
      <c r="E59" s="13"/>
      <c r="F59" s="5" t="s">
        <v>18</v>
      </c>
      <c r="G59" s="5"/>
      <c r="H59" s="5"/>
      <c r="I59" s="5"/>
      <c r="J59" s="5"/>
      <c r="K59" s="6"/>
    </row>
    <row r="60" spans="2:11" x14ac:dyDescent="0.3">
      <c r="B60" s="4"/>
      <c r="C60" s="5"/>
      <c r="D60" s="5"/>
      <c r="E60" s="5"/>
      <c r="F60" s="5"/>
      <c r="G60" s="5"/>
      <c r="H60" s="5"/>
      <c r="I60" s="5"/>
      <c r="J60" s="5"/>
      <c r="K60" s="6"/>
    </row>
    <row r="61" spans="2:11" x14ac:dyDescent="0.3">
      <c r="B61" s="4" t="s">
        <v>27</v>
      </c>
      <c r="C61" s="5"/>
      <c r="D61" s="5"/>
      <c r="E61" s="5"/>
      <c r="F61" s="5"/>
      <c r="G61" s="5"/>
      <c r="H61" s="5"/>
      <c r="I61" s="5"/>
      <c r="J61" s="5"/>
      <c r="K61" s="6"/>
    </row>
    <row r="62" spans="2:11" x14ac:dyDescent="0.3">
      <c r="B62" s="4">
        <v>0.5</v>
      </c>
      <c r="C62" s="5"/>
      <c r="D62" s="5"/>
      <c r="E62" s="5"/>
      <c r="F62" s="5"/>
      <c r="G62" s="5"/>
      <c r="H62" s="5"/>
      <c r="I62" s="5"/>
      <c r="J62" s="5"/>
      <c r="K62" s="6"/>
    </row>
    <row r="63" spans="2:11" ht="15" thickBot="1" x14ac:dyDescent="0.35">
      <c r="B63" s="7">
        <v>1</v>
      </c>
      <c r="C63" s="8"/>
      <c r="D63" s="8"/>
      <c r="E63" s="8"/>
      <c r="F63" s="8"/>
      <c r="G63" s="8"/>
      <c r="H63" s="8"/>
      <c r="I63" s="8"/>
      <c r="J63" s="8"/>
      <c r="K63" s="9"/>
    </row>
  </sheetData>
  <dataValidations count="3">
    <dataValidation type="list" allowBlank="1" showInputMessage="1" showErrorMessage="1" sqref="C4" xr:uid="{03378D1C-D1FD-4DF2-82DA-BAD2B3EF95A2}">
      <formula1>INDIRECT($C$3)</formula1>
    </dataValidation>
    <dataValidation type="list" allowBlank="1" showErrorMessage="1" sqref="C3" xr:uid="{E5842AD6-E6B4-42F5-A6FC-80B525BACFF8}">
      <formula1>$C$55:$K$55</formula1>
    </dataValidation>
    <dataValidation type="list" allowBlank="1" showInputMessage="1" showErrorMessage="1" sqref="C5" xr:uid="{42BFA2C3-79F6-4205-8D1E-46D401BC40E0}">
      <formula1>$B$62:$B$63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RunPythonScript">
                <anchor moveWithCells="1" sizeWithCells="1">
                  <from>
                    <xdr:col>1</xdr:col>
                    <xdr:colOff>7620</xdr:colOff>
                    <xdr:row>9</xdr:row>
                    <xdr:rowOff>167640</xdr:rowOff>
                  </from>
                  <to>
                    <xdr:col>2</xdr:col>
                    <xdr:colOff>30480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plot_LCRData.plot_LCRData">
                <anchor moveWithCells="1" sizeWithCells="1">
                  <from>
                    <xdr:col>3</xdr:col>
                    <xdr:colOff>0</xdr:colOff>
                    <xdr:row>10</xdr:row>
                    <xdr:rowOff>7620</xdr:rowOff>
                  </from>
                  <to>
                    <xdr:col>4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plot_allLCR">
                <anchor moveWithCells="1" sizeWithCells="1">
                  <from>
                    <xdr:col>2</xdr:col>
                    <xdr:colOff>586740</xdr:colOff>
                    <xdr:row>11</xdr:row>
                    <xdr:rowOff>175260</xdr:rowOff>
                  </from>
                  <to>
                    <xdr:col>3</xdr:col>
                    <xdr:colOff>601980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All.ClearAll">
                <anchor moveWithCells="1" sizeWithCells="1">
                  <from>
                    <xdr:col>1</xdr:col>
                    <xdr:colOff>22860</xdr:colOff>
                    <xdr:row>12</xdr:row>
                    <xdr:rowOff>15240</xdr:rowOff>
                  </from>
                  <to>
                    <xdr:col>2</xdr:col>
                    <xdr:colOff>22860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Sweep</vt:lpstr>
      <vt:lpstr>Cp</vt:lpstr>
      <vt:lpstr>Cs</vt:lpstr>
      <vt:lpstr>DCR</vt:lpstr>
      <vt:lpstr>G</vt:lpstr>
      <vt:lpstr>Lp</vt:lpstr>
      <vt:lpstr>Ls</vt:lpstr>
      <vt:lpstr>R_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Tabulog</dc:creator>
  <cp:lastModifiedBy>Austin Tabulog</cp:lastModifiedBy>
  <dcterms:created xsi:type="dcterms:W3CDTF">2020-01-10T22:10:57Z</dcterms:created>
  <dcterms:modified xsi:type="dcterms:W3CDTF">2020-01-20T14:51:56Z</dcterms:modified>
</cp:coreProperties>
</file>